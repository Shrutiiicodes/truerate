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M" sheetId="1" state="visible" r:id="rId1"/>
  </sheets>
  <definedNames>
    <definedName name="_xlnm._FilterDatabase" localSheetId="0" hidden="1">'RCM'!$A$6:$P$15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&quot;-&quot;"/>
    <numFmt numFmtId="165" formatCode="&quot;₹&quot;#,##0.00;[Red]-&quot;₹&quot;#,##0.00;&quot;-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000000"/>
      <sz val="11"/>
    </font>
    <font>
      <name val="Arial"/>
      <i val="1"/>
      <color rgb="00000000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7" fillId="0" borderId="0" pivotButton="0" quotePrefix="0" xfId="0"/>
    <xf numFmtId="164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8" customWidth="1" min="3" max="3"/>
    <col width="45" customWidth="1" min="4" max="4"/>
    <col width="40" customWidth="1" min="5" max="5"/>
    <col width="16" customWidth="1" min="6" max="6"/>
    <col width="45" customWidth="1" min="7" max="7"/>
    <col width="30" customWidth="1" min="8" max="8"/>
    <col width="17" customWidth="1" min="9" max="9"/>
    <col width="23" customWidth="1" min="10" max="10"/>
    <col width="24" customWidth="1" min="11" max="11"/>
    <col width="39" customWidth="1" min="12" max="12"/>
    <col width="32" customWidth="1" min="13" max="13"/>
    <col width="12" customWidth="1" min="14" max="14"/>
    <col width="28" customWidth="1" min="15" max="15"/>
    <col width="50" customWidth="1" min="16" max="16"/>
  </cols>
  <sheetData>
    <row r="1">
      <c r="A1" s="1" t="inlineStr">
        <is>
          <t>Synthetic Bank Ltd (illustrative)</t>
        </is>
      </c>
      <c r="O1" s="2" t="inlineStr">
        <is>
          <t>W/P ref</t>
        </is>
      </c>
      <c r="P1" s="3" t="inlineStr">
        <is>
          <t>ITAC-INT-01.RCM</t>
        </is>
      </c>
    </row>
    <row r="2">
      <c r="A2" s="4" t="inlineStr">
        <is>
          <t>ITAC - Loan interest computation (core banking system) - Risk and Control Matrix</t>
        </is>
      </c>
      <c r="O2" s="2" t="inlineStr">
        <is>
          <t>Prepared by</t>
        </is>
      </c>
      <c r="P2" s="3" t="inlineStr">
        <is>
          <t>&lt;Candidate name&gt;, Associate - IT Data &amp; Analytics</t>
        </is>
      </c>
    </row>
    <row r="3">
      <c r="A3" s="5" t="inlineStr">
        <is>
          <t>Period: Observation window Jan-2021 to Jun-2025</t>
        </is>
      </c>
      <c r="O3" s="2" t="inlineStr">
        <is>
          <t>Date</t>
        </is>
      </c>
      <c r="P3" s="3" t="inlineStr">
        <is>
          <t>2026-09-30</t>
        </is>
      </c>
    </row>
    <row r="4">
      <c r="O4" s="2" t="inlineStr">
        <is>
          <t>Reviewed by</t>
        </is>
      </c>
      <c r="P4" s="3" t="inlineStr">
        <is>
          <t>&lt;Reviewer&gt;, Manager</t>
        </is>
      </c>
    </row>
    <row r="6">
      <c r="A6" s="6" t="inlineStr">
        <is>
          <t>Control ID</t>
        </is>
      </c>
      <c r="B6" s="6" t="inlineStr">
        <is>
          <t>Control</t>
        </is>
      </c>
      <c r="C6" s="6" t="inlineStr">
        <is>
          <t>Process</t>
        </is>
      </c>
      <c r="D6" s="6" t="inlineStr">
        <is>
          <t>Risk</t>
        </is>
      </c>
      <c r="E6" s="6" t="inlineStr">
        <is>
          <t>Control description</t>
        </is>
      </c>
      <c r="F6" s="6" t="inlineStr">
        <is>
          <t>Control type</t>
        </is>
      </c>
      <c r="G6" s="6" t="inlineStr">
        <is>
          <t>Test procedure</t>
        </is>
      </c>
      <c r="H6" s="6" t="inlineStr">
        <is>
          <t>Population tested</t>
        </is>
      </c>
      <c r="I6" s="6" t="inlineStr">
        <is>
          <t>Population size</t>
        </is>
      </c>
      <c r="J6" s="6" t="inlineStr">
        <is>
          <t>Loans with exceptions</t>
        </is>
      </c>
      <c r="K6" s="6" t="inlineStr">
        <is>
          <t>Exception loan-periods</t>
        </is>
      </c>
      <c r="L6" s="6" t="inlineStr">
        <is>
          <t>Rupee impact - net, full window (INR)</t>
        </is>
      </c>
      <c r="M6" s="6" t="inlineStr">
        <is>
          <t>Rupee impact - gross, FY (INR)</t>
        </is>
      </c>
      <c r="N6" s="6" t="inlineStr">
        <is>
          <t>Conclusion</t>
        </is>
      </c>
      <c r="O6" s="6" t="inlineStr">
        <is>
          <t>Deficiency classification</t>
        </is>
      </c>
      <c r="P6" s="6" t="inlineStr">
        <is>
          <t>Recommendation</t>
        </is>
      </c>
    </row>
    <row r="7" ht="90" customHeight="1">
      <c r="A7" s="7" t="inlineStr">
        <is>
          <t>C-01</t>
        </is>
      </c>
      <c r="B7" s="7" t="inlineStr">
        <is>
          <t>Rate application</t>
        </is>
      </c>
      <c r="C7" s="7" t="inlineStr">
        <is>
          <t>Loans &amp; Advances - Interest income recognition</t>
        </is>
      </c>
      <c r="D7" s="7" t="inlineStr">
        <is>
          <t>Interest is computed at a rate other than the contracted rate (benchmark + spread + risk premium, or fixed rate), misstating interest income and overcharging/undercharging customers.</t>
        </is>
      </c>
      <c r="E7" s="7" t="inlineStr">
        <is>
          <t>The core banking system (CBS) derives the loan rate automatically from the product master and the sanctioned risk premium at account set-up.</t>
        </is>
      </c>
      <c r="F7" s="7" t="inlineStr">
        <is>
          <t>Automated (ITAC)</t>
        </is>
      </c>
      <c r="G7" s="7" t="inlineStr">
        <is>
          <t>Full-population recalculation of interest for every loan-period from contract terms; exceptions re-performed under a solved 'implied spread' hypothesis.</t>
        </is>
      </c>
      <c r="H7" s="7" t="inlineStr">
        <is>
          <t>All loan-periods (rate applied every period)</t>
        </is>
      </c>
      <c r="I7" s="8" t="n">
        <v>1296378</v>
      </c>
      <c r="J7" s="8" t="n">
        <v>183</v>
      </c>
      <c r="K7" s="8" t="n">
        <v>4568</v>
      </c>
      <c r="L7" s="9" t="n">
        <v>1877768.54</v>
      </c>
      <c r="M7" s="9" t="n">
        <v>1235489.49</v>
      </c>
      <c r="N7" s="10" t="inlineStr">
        <is>
          <t>Deficient</t>
        </is>
      </c>
      <c r="O7" s="7" t="inlineStr">
        <is>
          <t>Control deficiency (below clearly trivial; systematic)</t>
        </is>
      </c>
      <c r="P7" s="7" t="inlineStr">
        <is>
          <t>Reconcile CBS account-level rates to sanction letters for the population flagged; add a system validation that the account rate equals the product-derived rate at set-up and on every rate change.</t>
        </is>
      </c>
    </row>
    <row r="8" ht="90" customHeight="1">
      <c r="A8" s="7" t="inlineStr">
        <is>
          <t>C-02</t>
        </is>
      </c>
      <c r="B8" s="7" t="inlineStr">
        <is>
          <t>Reset timing</t>
        </is>
      </c>
      <c r="C8" s="7" t="inlineStr">
        <is>
          <t>Loans &amp; Advances - Interest income recognition</t>
        </is>
      </c>
      <c r="D8" s="7" t="inlineStr">
        <is>
          <t>Floating-rate loans are repriced late, so benchmark changes (e.g. RBI repo moves) reach borrowers after the contracted reset date - a regulatory issue under the EBLR framework and an income misstatement.</t>
        </is>
      </c>
      <c r="E8" s="7" t="inlineStr">
        <is>
          <t>CBS resets floating rates automatically on each loan's reset date using the benchmark in force on that date.</t>
        </is>
      </c>
      <c r="F8" s="7" t="inlineStr">
        <is>
          <t>Automated (ITAC)</t>
        </is>
      </c>
      <c r="G8" s="7" t="inlineStr">
        <is>
          <t>Recalculated reset dates from disbursal anniversaries and reset frequency; benchmark looked up on the reset date from the RBI repo history; exceptions re-performed under a 'one cycle late' hypothesis.</t>
        </is>
      </c>
      <c r="H8" s="7" t="inlineStr">
        <is>
          <t>Rate reset events on floating loans</t>
        </is>
      </c>
      <c r="I8" s="8" t="n">
        <v>236122</v>
      </c>
      <c r="J8" s="8" t="n">
        <v>159</v>
      </c>
      <c r="K8" s="8" t="n">
        <v>3685</v>
      </c>
      <c r="L8" s="9" t="n">
        <v>-2032037.51</v>
      </c>
      <c r="M8" s="9" t="n">
        <v>466215.28</v>
      </c>
      <c r="N8" s="10" t="inlineStr">
        <is>
          <t>Deficient</t>
        </is>
      </c>
      <c r="O8" s="7" t="inlineStr">
        <is>
          <t>Significant deficiency (qualitative: regulatory / ITGC)</t>
        </is>
      </c>
      <c r="P8" s="7" t="inlineStr">
        <is>
          <t>Review the CBS batch job that applies resets (run date vs value date); re-price affected accounts and refund/recover differences; add a reset-exception report reviewed monthly.</t>
        </is>
      </c>
    </row>
    <row r="9" ht="90" customHeight="1">
      <c r="A9" s="7" t="inlineStr">
        <is>
          <t>C-03</t>
        </is>
      </c>
      <c r="B9" s="7" t="inlineStr">
        <is>
          <t>Day-count convention</t>
        </is>
      </c>
      <c r="C9" s="7" t="inlineStr">
        <is>
          <t>Loans &amp; Advances - Interest income recognition</t>
        </is>
      </c>
      <c r="D9" s="7" t="inlineStr">
        <is>
          <t>The wrong day-count basis (e.g. 30/360 instead of Actual/365) misstates daily accrual.</t>
        </is>
      </c>
      <c r="E9" s="7" t="inlineStr">
        <is>
          <t>CBS applies the day-count convention defined per product in the product master.</t>
        </is>
      </c>
      <c r="F9" s="7" t="inlineStr">
        <is>
          <t>Automated (ITAC)</t>
        </is>
      </c>
      <c r="G9" s="7" t="inlineStr">
        <is>
          <t>Recalculated accrual under each product's documented convention; exceptions re-performed under 30E/360.</t>
        </is>
      </c>
      <c r="H9" s="7" t="inlineStr">
        <is>
          <t>All loan-periods</t>
        </is>
      </c>
      <c r="I9" s="8" t="n">
        <v>1296378</v>
      </c>
      <c r="J9" s="8" t="n">
        <v>183</v>
      </c>
      <c r="K9" s="8" t="n">
        <v>4891</v>
      </c>
      <c r="L9" s="9" t="n">
        <v>-18148.34</v>
      </c>
      <c r="M9" s="9" t="n">
        <v>93751.48</v>
      </c>
      <c r="N9" s="10" t="inlineStr">
        <is>
          <t>Deficient</t>
        </is>
      </c>
      <c r="O9" s="7" t="inlineStr">
        <is>
          <t>Control deficiency (below clearly trivial; systematic)</t>
        </is>
      </c>
      <c r="P9" s="7" t="inlineStr">
        <is>
          <t>Correct the day-count parameter for the affected account group (appears to be a legacy migration batch); test the parameter for all products.</t>
        </is>
      </c>
    </row>
    <row r="10" ht="90" customHeight="1">
      <c r="A10" s="7" t="inlineStr">
        <is>
          <t>C-04</t>
        </is>
      </c>
      <c r="B10" s="7" t="inlineStr">
        <is>
          <t>Moratorium interest</t>
        </is>
      </c>
      <c r="C10" s="7" t="inlineStr">
        <is>
          <t>Loans &amp; Advances - Interest income recognition</t>
        </is>
      </c>
      <c r="D10" s="7" t="inlineStr">
        <is>
          <t>Interest during a moratorium is capitalised monthly (interest on interest), contrary to the product terms.</t>
        </is>
      </c>
      <c r="E10" s="7" t="inlineStr">
        <is>
          <t>CBS accrues moratorium interest as simple interest to a separate non-interest-bearing bucket.</t>
        </is>
      </c>
      <c r="F10" s="7" t="inlineStr">
        <is>
          <t>Automated (ITAC)</t>
        </is>
      </c>
      <c r="G10" s="7" t="inlineStr">
        <is>
          <t>Recalculated moratorium accrual as simple interest; exceptions re-performed with monthly capitalisation.</t>
        </is>
      </c>
      <c r="H10" s="7" t="inlineStr">
        <is>
          <t>Loan-periods inside a moratorium</t>
        </is>
      </c>
      <c r="I10" s="8" t="n">
        <v>8855</v>
      </c>
      <c r="J10" s="8" t="n">
        <v>149</v>
      </c>
      <c r="K10" s="8" t="n">
        <v>4646</v>
      </c>
      <c r="L10" s="9" t="n">
        <v>1825469.65</v>
      </c>
      <c r="M10" s="9" t="n">
        <v>650111.92</v>
      </c>
      <c r="N10" s="10" t="inlineStr">
        <is>
          <t>Deficient</t>
        </is>
      </c>
      <c r="O10" s="7" t="inlineStr">
        <is>
          <t>Control deficiency (below clearly trivial; systematic)</t>
        </is>
      </c>
      <c r="P10" s="7" t="inlineStr">
        <is>
          <t>Fix the moratorium accrual routine; quantify and refund compounded interest to affected borrowers.</t>
        </is>
      </c>
    </row>
    <row r="11" ht="90" customHeight="1">
      <c r="A11" s="7" t="inlineStr">
        <is>
          <t>C-05</t>
        </is>
      </c>
      <c r="B11" s="7" t="inlineStr">
        <is>
          <t>Penal charges</t>
        </is>
      </c>
      <c r="C11" s="7" t="inlineStr">
        <is>
          <t>Loans &amp; Advances - Interest income recognition</t>
        </is>
      </c>
      <c r="D11" s="7" t="inlineStr">
        <is>
          <t>Penal charges are levied as penal interest (added to the rate) or capitalised, contrary to RBI's Fair Lending Practice - Penal Charges circular (18-Aug-2023; effective 01-Apr-2024, existing loans by 30-Jun-2024).</t>
        </is>
      </c>
      <c r="E11" s="7" t="inlineStr">
        <is>
          <t>CBS books a fixed penal charge per bounced instalment to a separate receivable, with no interest on it.</t>
        </is>
      </c>
      <c r="F11" s="7" t="inlineStr">
        <is>
          <t>Automated (ITAC)</t>
        </is>
      </c>
      <c r="G11" s="7" t="inlineStr">
        <is>
          <t>Recalculated penal charges for every bounced instalment from the transaction file; exceptions re-performed as capitalisation or as penal interest at 1-3% p.a.</t>
        </is>
      </c>
      <c r="H11" s="7" t="inlineStr">
        <is>
          <t>Bounced instalments (5,517 under the 2024 penal-charge regime)</t>
        </is>
      </c>
      <c r="I11" s="8" t="n">
        <v>16558</v>
      </c>
      <c r="J11" s="8" t="n">
        <v>151</v>
      </c>
      <c r="K11" s="8" t="n">
        <v>940</v>
      </c>
      <c r="L11" s="9" t="n">
        <v>211296.56</v>
      </c>
      <c r="M11" s="9" t="n">
        <v>249291.07</v>
      </c>
      <c r="N11" s="10" t="inlineStr">
        <is>
          <t>Deficient</t>
        </is>
      </c>
      <c r="O11" s="7" t="inlineStr">
        <is>
          <t>Significant deficiency (qualitative: regulatory / ITGC)</t>
        </is>
      </c>
      <c r="P11" s="7" t="inlineStr">
        <is>
          <t>Complete the penal-charge regime migration for residual accounts; report the breach to Compliance; refund excess charges.</t>
        </is>
      </c>
    </row>
    <row r="12" ht="90" customHeight="1">
      <c r="A12" s="7" t="inlineStr">
        <is>
          <t>C-06</t>
        </is>
      </c>
      <c r="B12" s="7" t="inlineStr">
        <is>
          <t>Rounding</t>
        </is>
      </c>
      <c r="C12" s="7" t="inlineStr">
        <is>
          <t>Loans &amp; Advances - Interest income recognition</t>
        </is>
      </c>
      <c r="D12" s="7" t="inlineStr">
        <is>
          <t>Interest is rounded daily instead of once per billing period, creating systematic small differences.</t>
        </is>
      </c>
      <c r="E12" s="7" t="inlineStr">
        <is>
          <t>CBS rounds interest half-up to 2 decimals once per billing period.</t>
        </is>
      </c>
      <c r="F12" s="7" t="inlineStr">
        <is>
          <t>Automated (ITAC)</t>
        </is>
      </c>
      <c r="G12" s="7" t="inlineStr">
        <is>
          <t>Recalculated with period-level rounding; exceptions re-performed with daily rounding at 0, 1 and 2 decimals.</t>
        </is>
      </c>
      <c r="H12" s="7" t="inlineStr">
        <is>
          <t>All loan-periods</t>
        </is>
      </c>
      <c r="I12" s="8" t="n">
        <v>1296378</v>
      </c>
      <c r="J12" s="8" t="n">
        <v>163</v>
      </c>
      <c r="K12" s="8" t="n">
        <v>3811</v>
      </c>
      <c r="L12" s="9" t="n">
        <v>-440.45</v>
      </c>
      <c r="M12" s="9" t="n">
        <v>10573.04</v>
      </c>
      <c r="N12" s="10" t="inlineStr">
        <is>
          <t>Deficient</t>
        </is>
      </c>
      <c r="O12" s="7" t="inlineStr">
        <is>
          <t>Control deficiency (below clearly trivial; systematic)</t>
        </is>
      </c>
      <c r="P12" s="7" t="inlineStr">
        <is>
          <t>Align the rounding parameter for the affected accounts; low monetary impact but indicates inconsistent configuration.</t>
        </is>
      </c>
    </row>
    <row r="13" ht="90" customHeight="1">
      <c r="A13" s="7" t="inlineStr">
        <is>
          <t>C-07</t>
        </is>
      </c>
      <c r="B13" s="7" t="inlineStr">
        <is>
          <t>Product master change (ITGC dependency)</t>
        </is>
      </c>
      <c r="C13" s="7" t="inlineStr">
        <is>
          <t>Loans &amp; Advances - Interest income recognition</t>
        </is>
      </c>
      <c r="D13" s="7" t="inlineStr">
        <is>
          <t>A product master change (spread cut on HL-FLT from 01-Oct-2023) is not propagated to existing accounts - an ITGC change-management failure flowing into an application control.</t>
        </is>
      </c>
      <c r="E13" s="7" t="inlineStr">
        <is>
          <t>Approved product master changes are applied to all accounts at their next reset (ITAC relies on ITGC change management).</t>
        </is>
      </c>
      <c r="F13" s="7" t="inlineStr">
        <is>
          <t>ITGC-dependent automated control</t>
        </is>
      </c>
      <c r="G13" s="7" t="inlineStr">
        <is>
          <t>Recalculated rates using the product master spread history; exceptions re-performed with the pre-change spread retained.</t>
        </is>
      </c>
      <c r="H13" s="7" t="inlineStr">
        <is>
          <t>HL-FLT resets on/after the 01-Oct-2023 spread change (pre-change loans)</t>
        </is>
      </c>
      <c r="I13" s="8" t="n">
        <v>77292</v>
      </c>
      <c r="J13" s="8" t="n">
        <v>153</v>
      </c>
      <c r="K13" s="8" t="n">
        <v>3028</v>
      </c>
      <c r="L13" s="9" t="n">
        <v>2431337.39</v>
      </c>
      <c r="M13" s="9" t="n">
        <v>1507162.89</v>
      </c>
      <c r="N13" s="10" t="inlineStr">
        <is>
          <t>Deficient</t>
        </is>
      </c>
      <c r="O13" s="7" t="inlineStr">
        <is>
          <t>Significant deficiency (qualitative: regulatory / ITGC)</t>
        </is>
      </c>
      <c r="P13" s="7" t="inlineStr">
        <is>
          <t>Inspect the change ticket and post-implementation review for the 01-Oct-2023 change; extend ITGC testing to other parameter changes in the period; re-price affected accounts.</t>
        </is>
      </c>
    </row>
    <row r="14" ht="90" customHeight="1">
      <c r="A14" s="7" t="inlineStr">
        <is>
          <t>C-08</t>
        </is>
      </c>
      <c r="B14" s="7" t="inlineStr">
        <is>
          <t>Accrual stop on closure</t>
        </is>
      </c>
      <c r="C14" s="7" t="inlineStr">
        <is>
          <t>Loans &amp; Advances - Interest income recognition</t>
        </is>
      </c>
      <c r="D14" s="7" t="inlineStr">
        <is>
          <t>Interest continues to accrue after a loan is fully prepaid or closed.</t>
        </is>
      </c>
      <c r="E14" s="7" t="inlineStr">
        <is>
          <t>CBS stops accrual on the value date of closure.</t>
        </is>
      </c>
      <c r="F14" s="7" t="inlineStr">
        <is>
          <t>Automated (ITAC)</t>
        </is>
      </c>
      <c r="G14" s="7" t="inlineStr">
        <is>
          <t>Recalculated accrual up to the closure value date; exceptions re-performed with accrual to period end.</t>
        </is>
      </c>
      <c r="H14" s="7" t="inlineStr">
        <is>
          <t>Loan closures in window (prepayment or maturity)</t>
        </is>
      </c>
      <c r="I14" s="8" t="n">
        <v>19521</v>
      </c>
      <c r="J14" s="8" t="n">
        <v>155</v>
      </c>
      <c r="K14" s="8" t="n">
        <v>267</v>
      </c>
      <c r="L14" s="9" t="n">
        <v>804810.52</v>
      </c>
      <c r="M14" s="9" t="n">
        <v>364470.89</v>
      </c>
      <c r="N14" s="10" t="inlineStr">
        <is>
          <t>Deficient</t>
        </is>
      </c>
      <c r="O14" s="7" t="inlineStr">
        <is>
          <t>Control deficiency (below clearly trivial; systematic)</t>
        </is>
      </c>
      <c r="P14" s="7" t="inlineStr">
        <is>
          <t>Fix value-dating of full prepayments; reverse post-closure interest and refund borrowers.</t>
        </is>
      </c>
    </row>
    <row r="15" ht="90" customHeight="1">
      <c r="A15" s="7" t="inlineStr">
        <is>
          <t>C-09</t>
        </is>
      </c>
      <c r="B15" s="7" t="inlineStr">
        <is>
          <t>Leap-year handling</t>
        </is>
      </c>
      <c r="C15" s="7" t="inlineStr">
        <is>
          <t>Loans &amp; Advances - Interest income recognition</t>
        </is>
      </c>
      <c r="D15" s="7" t="inlineStr">
        <is>
          <t>ACT/ACT products use a 365-day year in leap years, overstating interest in 2024.</t>
        </is>
      </c>
      <c r="E15" s="7" t="inlineStr">
        <is>
          <t>CBS uses the actual number of days in the year (366 in leap years) for ACT/ACT products.</t>
        </is>
      </c>
      <c r="F15" s="7" t="inlineStr">
        <is>
          <t>Automated (ITAC)</t>
        </is>
      </c>
      <c r="G15" s="7" t="inlineStr">
        <is>
          <t>Recalculated 2024 accruals on a 366-day basis; exceptions re-performed with a 365-day basis.</t>
        </is>
      </c>
      <c r="H15" s="7" t="inlineStr">
        <is>
          <t>ACT/ACT loan-periods in leap year 2024</t>
        </is>
      </c>
      <c r="I15" s="8" t="n">
        <v>79462</v>
      </c>
      <c r="J15" s="8" t="n">
        <v>161</v>
      </c>
      <c r="K15" s="8" t="n">
        <v>2697</v>
      </c>
      <c r="L15" s="9" t="n">
        <v>92685.06</v>
      </c>
      <c r="M15" s="9" t="n">
        <v>68837.57000000001</v>
      </c>
      <c r="N15" s="10" t="inlineStr">
        <is>
          <t>Deficient</t>
        </is>
      </c>
      <c r="O15" s="7" t="inlineStr">
        <is>
          <t>Control deficiency (below clearly trivial; systematic)</t>
        </is>
      </c>
      <c r="P15" s="7" t="inlineStr">
        <is>
          <t>Correct the year-basis parameter; reverse 2024 over-accrual for affected MSME accounts.</t>
        </is>
      </c>
    </row>
    <row r="16">
      <c r="A16" s="11" t="inlineStr">
        <is>
          <t>Total</t>
        </is>
      </c>
      <c r="J16" s="12">
        <f>SUM(J7:J15)</f>
        <v/>
      </c>
      <c r="K16" s="12">
        <f>SUM(K7:K15)</f>
        <v/>
      </c>
      <c r="L16" s="13">
        <f>SUM(L7:L15)</f>
        <v/>
      </c>
      <c r="M16" s="13">
        <f>SUM(M7:M15)</f>
        <v/>
      </c>
    </row>
    <row r="18">
      <c r="A18" s="11" t="inlineStr">
        <is>
          <t>Notes</t>
        </is>
      </c>
    </row>
    <row r="19">
      <c r="A19" s="5" t="inlineStr">
        <is>
          <t>Open item: 1 exception loan(s) could not be attributed to any hypothesis or pair - referred for manual follow-up (see work paper, Loan Attribution tab).</t>
        </is>
      </c>
    </row>
    <row r="20">
      <c r="A20" s="5" t="inlineStr">
        <is>
          <t>Loans attributed to two controls are counted under both controls; rupee impact is split between them (standalone impact of one leg, remainder to the other), so totals do not double count.</t>
        </is>
      </c>
    </row>
    <row r="21">
      <c r="A21" s="5" t="inlineStr">
        <is>
          <t>Net impact = system minus recalculated (positive = income overstated / customers overcharged). Gross = sum of absolute differences.</t>
        </is>
      </c>
    </row>
    <row r="22">
      <c r="A22" s="5" t="inlineStr">
        <is>
          <t>Conclusion 'Deficient' where at least one exception is attributed to the control. Classification follows audit.yaml (quantitative vs FY materiality, qualitative escalation for regulatory/ITGC-linked controls).</t>
        </is>
      </c>
    </row>
  </sheetData>
  <autoFilter ref="A6: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2026-09-30T13:51:19Z</dcterms:created>
  <dcterms:modified xmlns:dcterms="http://purl.org/dc/terms/" xmlns:xsi="http://www.w3.org/2001/XMLSchema-instance" xsi:type="dcterms:W3CDTF">2026-09-30T13:51:20Z</dcterms:modified>
</cp:coreProperties>
</file>